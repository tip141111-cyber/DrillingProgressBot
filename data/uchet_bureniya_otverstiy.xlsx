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Учет работ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rlito"/>
      <sz val="11"/>
    </font>
    <font>
      <name val="Carlito"/>
      <b val="1"/>
      <color rgb="FFFFFFFF"/>
      <sz val="16"/>
    </font>
    <font>
      <name val="Carlito"/>
      <i val="1"/>
      <color rgb="FF17324D"/>
      <sz val="11"/>
    </font>
    <font>
      <name val="Carlito"/>
      <b val="1"/>
      <color rgb="FF17324D"/>
      <sz val="11"/>
    </font>
    <font>
      <name val="Carlito"/>
      <b val="1"/>
      <color rgb="FF0F766E"/>
      <sz val="14"/>
    </font>
    <font>
      <name val="Carlito"/>
      <b val="1"/>
      <color rgb="FFFFFFFF"/>
      <sz val="11"/>
    </font>
    <font>
      <name val="Carlito"/>
      <b val="1"/>
      <color rgb="FF7A4B00"/>
      <sz val="11"/>
    </font>
    <font>
      <name val="Carlito"/>
      <color rgb="FF334155"/>
      <sz val="11"/>
    </font>
  </fonts>
  <fills count="8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8FAFC"/>
      </patternFill>
    </fill>
  </fills>
  <borders count="15">
    <border/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3" fillId="4" borderId="5" applyAlignment="1" pivotButton="0" quotePrefix="0" xfId="0">
      <alignment horizontal="center"/>
    </xf>
    <xf numFmtId="0" fontId="3" fillId="4" borderId="6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4" fillId="5" borderId="4" applyAlignment="1" pivotButton="0" quotePrefix="0" xfId="0">
      <alignment horizontal="center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0" fillId="0" borderId="7" pivotButton="0" quotePrefix="0" xfId="0"/>
    <xf numFmtId="0" fontId="0" fillId="3" borderId="7" pivotButton="0" quotePrefix="0" xfId="0"/>
    <xf numFmtId="0" fontId="3" fillId="3" borderId="7" pivotButton="0" quotePrefix="0" xfId="0"/>
    <xf numFmtId="0" fontId="0" fillId="6" borderId="7" pivotButton="0" quotePrefix="0" xfId="0"/>
    <xf numFmtId="0" fontId="6" fillId="6" borderId="7" pivotButton="0" quotePrefix="0" xfId="0"/>
    <xf numFmtId="0" fontId="6" fillId="6" borderId="8" pivotButton="0" quotePrefix="0" xfId="0"/>
    <xf numFmtId="0" fontId="3" fillId="3" borderId="0" pivotButton="0" quotePrefix="0" xfId="0"/>
    <xf numFmtId="0" fontId="3" fillId="3" borderId="9" pivotButton="0" quotePrefix="0" xfId="0"/>
    <xf numFmtId="0" fontId="3" fillId="3" borderId="10" pivotButton="0" quotePrefix="0" xfId="0"/>
    <xf numFmtId="0" fontId="3" fillId="3" borderId="11" pivotButton="0" quotePrefix="0" xfId="0"/>
    <xf numFmtId="0" fontId="0" fillId="7" borderId="0" pivotButton="0" quotePrefix="0" xfId="0"/>
    <xf numFmtId="0" fontId="7" fillId="7" borderId="0" pivotButton="0" quotePrefix="0" xfId="0"/>
    <xf numFmtId="0" fontId="7" fillId="7" borderId="1" pivotButton="0" quotePrefix="0" xfId="0"/>
    <xf numFmtId="0" fontId="7" fillId="7" borderId="2" pivotButton="0" quotePrefix="0" xfId="0"/>
    <xf numFmtId="0" fontId="7" fillId="7" borderId="3" pivotButton="0" quotePrefix="0" xfId="0"/>
    <xf numFmtId="0" fontId="7" fillId="7" borderId="12" pivotButton="0" quotePrefix="0" xfId="0"/>
    <xf numFmtId="0" fontId="7" fillId="7" borderId="13" pivotButton="0" quotePrefix="0" xfId="0"/>
    <xf numFmtId="0" fontId="7" fillId="7" borderId="4" pivotButton="0" quotePrefix="0" xfId="0"/>
    <xf numFmtId="0" fontId="7" fillId="7" borderId="5" pivotButton="0" quotePrefix="0" xfId="0"/>
    <xf numFmtId="0" fontId="7" fillId="7" borderId="6" pivotButton="0" quotePrefix="0" xfId="0"/>
    <xf numFmtId="0" fontId="7" fillId="7" borderId="1" applyAlignment="1" pivotButton="0" quotePrefix="0" xfId="0">
      <alignment wrapText="1"/>
    </xf>
    <xf numFmtId="0" fontId="7" fillId="7" borderId="2" applyAlignment="1" pivotButton="0" quotePrefix="0" xfId="0">
      <alignment wrapText="1"/>
    </xf>
    <xf numFmtId="0" fontId="7" fillId="7" borderId="3" applyAlignment="1" pivotButton="0" quotePrefix="0" xfId="0">
      <alignment wrapText="1"/>
    </xf>
    <xf numFmtId="0" fontId="7" fillId="7" borderId="12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7" fillId="7" borderId="13" applyAlignment="1" pivotButton="0" quotePrefix="0" xfId="0">
      <alignment wrapText="1"/>
    </xf>
    <xf numFmtId="0" fontId="7" fillId="7" borderId="4" applyAlignment="1" pivotButton="0" quotePrefix="0" xfId="0">
      <alignment wrapText="1"/>
    </xf>
    <xf numFmtId="0" fontId="7" fillId="7" borderId="5" applyAlignment="1" pivotButton="0" quotePrefix="0" xfId="0">
      <alignment wrapText="1"/>
    </xf>
    <xf numFmtId="0" fontId="7" fillId="7" borderId="6" applyAlignment="1" pivotButton="0" quotePrefix="0" xfId="0">
      <alignment wrapText="1"/>
    </xf>
    <xf numFmtId="0" fontId="3" fillId="7" borderId="1" applyAlignment="1" pivotButton="0" quotePrefix="0" xfId="0">
      <alignment wrapText="1"/>
    </xf>
    <xf numFmtId="0" fontId="3" fillId="7" borderId="12" applyAlignment="1" pivotButton="0" quotePrefix="0" xfId="0">
      <alignment wrapText="1"/>
    </xf>
    <xf numFmtId="0" fontId="3" fillId="7" borderId="4" applyAlignment="1" pivotButton="0" quotePrefix="0" xfId="0">
      <alignment wrapText="1"/>
    </xf>
    <xf numFmtId="164" fontId="0" fillId="0" borderId="7" pivotButton="0" quotePrefix="0" xfId="0"/>
    <xf numFmtId="164" fontId="3" fillId="3" borderId="7" pivotButton="0" quotePrefix="0" xfId="0"/>
    <xf numFmtId="3" fontId="4" fillId="5" borderId="4" applyAlignment="1" pivotButton="0" quotePrefix="0" xfId="0">
      <alignment horizontal="center"/>
    </xf>
    <xf numFmtId="3" fontId="3" fillId="4" borderId="5" applyAlignment="1" pivotButton="0" quotePrefix="0" xfId="0">
      <alignment horizontal="center"/>
    </xf>
    <xf numFmtId="3" fontId="0" fillId="0" borderId="0" pivotButton="0" quotePrefix="0" xfId="0"/>
    <xf numFmtId="3" fontId="5" fillId="2" borderId="0" applyAlignment="1" pivotButton="0" quotePrefix="0" xfId="0">
      <alignment horizontal="center"/>
    </xf>
    <xf numFmtId="3" fontId="0" fillId="0" borderId="7" pivotButton="0" quotePrefix="0" xfId="0"/>
    <xf numFmtId="3" fontId="6" fillId="6" borderId="8" pivotButton="0" quotePrefix="0" xfId="0"/>
    <xf numFmtId="3" fontId="3" fillId="3" borderId="7" pivotButton="0" quotePrefix="0" xfId="0"/>
    <xf numFmtId="165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3" fontId="4" fillId="5" borderId="4" applyAlignment="1" pivotButton="0" quotePrefix="0" xfId="0">
      <alignment horizontal="center"/>
    </xf>
    <xf numFmtId="0" fontId="0" fillId="0" borderId="5" pivotButton="0" quotePrefix="0" xfId="0"/>
    <xf numFmtId="3" fontId="3" fillId="4" borderId="5" applyAlignment="1" pivotButton="0" quotePrefix="0" xfId="0">
      <alignment horizontal="center"/>
    </xf>
    <xf numFmtId="0" fontId="0" fillId="0" borderId="6" pivotButton="0" quotePrefix="0" xfId="0"/>
    <xf numFmtId="3" fontId="0" fillId="0" borderId="0" pivotButton="0" quotePrefix="0" xfId="0"/>
    <xf numFmtId="3" fontId="5" fillId="2" borderId="0" applyAlignment="1" pivotButton="0" quotePrefix="0" xfId="0">
      <alignment horizontal="center"/>
    </xf>
    <xf numFmtId="3" fontId="0" fillId="0" borderId="7" pivotButton="0" quotePrefix="0" xfId="0"/>
    <xf numFmtId="3" fontId="6" fillId="6" borderId="8" pivotButton="0" quotePrefix="0" xfId="0"/>
    <xf numFmtId="164" fontId="0" fillId="0" borderId="7" pivotButton="0" quotePrefix="0" xfId="0"/>
    <xf numFmtId="165" fontId="0" fillId="0" borderId="0" pivotButton="0" quotePrefix="0" xfId="0"/>
    <xf numFmtId="3" fontId="3" fillId="3" borderId="7" pivotButton="0" quotePrefix="0" xfId="0"/>
    <xf numFmtId="164" fontId="3" fillId="3" borderId="7" pivotButton="0" quotePrefix="0" xfId="0"/>
    <xf numFmtId="0" fontId="3" fillId="3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164" fontId="3" fillId="4" borderId="6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Готовность по линейкам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Готовность, %</v>
          </tx>
          <spPr>
            <a:ln>
              <a:prstDash val="solid"/>
            </a:ln>
          </spPr>
          <dLbls/>
          <cat>
            <strRef>
              <f>'Учет работ'!$H$8:$H$10</f>
              <strCache>
                <ptCount val="0"/>
              </strCache>
            </strRef>
          </cat>
          <val>
            <numRef>
              <f>'Учет работ'!$I$8:$I$10</f>
              <numCache>
                <formatCode>0.0</formatCode>
                <ptCount val="0"/>
              </numCache>
            </numRef>
          </val>
        </ser>
        <dLbls/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anchorCtr="1"/>
          <a:lstStyle/>
          <a:p>
            <a:pPr>
              <a:defRPr sz="750"/>
            </a:pPr>
            <a:r>
              <a:t>None</a:t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  <max val="100"/>
          <min val="0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&quot;%&quot;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6</row>
      <rowOff>0</rowOff>
    </from>
    <to>
      <col>16</col>
      <colOff>0</colOff>
      <row>21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4" customWidth="1" min="5" max="5"/>
    <col width="13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4" t="inlineStr">
        <is>
          <t>Учет выполнения работ по отверстиям</t>
        </is>
      </c>
    </row>
    <row r="2" ht="24" customHeight="1">
      <c r="A2" s="7" t="inlineStr">
        <is>
          <t>Меняйте только желтые ячейки: разметка, бурение и гофра. Итоги и диаграмма пересчитываются автоматически.</t>
        </is>
      </c>
    </row>
    <row r="4" ht="24" customHeight="1">
      <c r="A4" s="16" t="inlineStr">
        <is>
          <t>Общий план</t>
        </is>
      </c>
      <c r="B4" s="68" t="n"/>
      <c r="C4" s="17" t="inlineStr">
        <is>
          <t>Разметка</t>
        </is>
      </c>
      <c r="D4" s="68" t="n"/>
      <c r="E4" s="17" t="inlineStr">
        <is>
          <t>Бурение</t>
        </is>
      </c>
      <c r="F4" s="68" t="n"/>
      <c r="G4" s="17" t="inlineStr">
        <is>
          <t>Гофра</t>
        </is>
      </c>
      <c r="H4" s="68" t="n"/>
      <c r="I4" s="18" t="inlineStr">
        <is>
          <t>Общая готовность</t>
        </is>
      </c>
      <c r="J4" s="69" t="n"/>
    </row>
    <row r="5" ht="24" customHeight="1">
      <c r="A5" s="70" t="n">
        <v>288</v>
      </c>
      <c r="B5" s="71" t="n"/>
      <c r="C5" s="72">
        <f>SUM(C8:C9)</f>
        <v/>
      </c>
      <c r="D5" s="71" t="n"/>
      <c r="E5" s="72">
        <f>SUM(D8:D9)</f>
        <v/>
      </c>
      <c r="F5" s="71" t="n"/>
      <c r="G5" s="20">
        <f>SUM(E8:E9)</f>
        <v/>
      </c>
      <c r="H5" s="71" t="n"/>
      <c r="I5" s="86" t="n">
        <v>0.2190972222222222</v>
      </c>
      <c r="J5" s="73" t="n"/>
    </row>
    <row r="6">
      <c r="A6" s="74" t="n"/>
      <c r="B6" s="74" t="n"/>
      <c r="C6" s="74" t="n"/>
      <c r="D6" s="74" t="n"/>
      <c r="E6" s="74" t="n"/>
    </row>
    <row r="7">
      <c r="A7" s="75" t="inlineStr">
        <is>
          <t>Линейка</t>
        </is>
      </c>
      <c r="B7" s="75" t="inlineStr">
        <is>
          <t>План отверстий</t>
        </is>
      </c>
      <c r="C7" s="75" t="inlineStr">
        <is>
          <t>Разметка 10%</t>
        </is>
      </c>
      <c r="D7" s="75" t="inlineStr">
        <is>
          <t>Бурение 70%</t>
        </is>
      </c>
      <c r="E7" s="75" t="inlineStr">
        <is>
          <t>Гофра 20%</t>
        </is>
      </c>
      <c r="F7" s="25" t="inlineStr">
        <is>
          <t>Готовность</t>
        </is>
      </c>
      <c r="H7" t="inlineStr">
        <is>
          <t>Линейка</t>
        </is>
      </c>
      <c r="I7" t="inlineStr">
        <is>
          <t>Готовность, %</t>
        </is>
      </c>
    </row>
    <row r="8">
      <c r="A8" s="76" t="inlineStr">
        <is>
          <t>АФУ 1/4</t>
        </is>
      </c>
      <c r="B8" s="76" t="n">
        <v>144</v>
      </c>
      <c r="C8" s="77" t="n">
        <v>99</v>
      </c>
      <c r="D8" s="77" t="n">
        <v>76</v>
      </c>
      <c r="E8" s="77" t="n">
        <v>0</v>
      </c>
      <c r="F8" s="78" t="n">
        <v>0.4381944444444444</v>
      </c>
      <c r="H8">
        <f>A8</f>
        <v/>
      </c>
      <c r="I8" s="79" t="n">
        <v>43.81944444444444</v>
      </c>
    </row>
    <row r="9">
      <c r="A9" s="76" t="inlineStr">
        <is>
          <t>АФУ 3</t>
        </is>
      </c>
      <c r="B9" s="76" t="n">
        <v>144</v>
      </c>
      <c r="C9" s="77" t="n">
        <v>0</v>
      </c>
      <c r="D9" s="77" t="n">
        <v>0</v>
      </c>
      <c r="E9" s="77" t="n">
        <v>0</v>
      </c>
      <c r="F9" s="78" t="n">
        <v>0</v>
      </c>
      <c r="H9">
        <f>A9</f>
        <v/>
      </c>
      <c r="I9" s="79" t="n">
        <v>0</v>
      </c>
    </row>
    <row r="10">
      <c r="A10" s="80" t="inlineStr">
        <is>
          <t>Итого</t>
        </is>
      </c>
      <c r="B10" s="80" t="n">
        <v>288</v>
      </c>
      <c r="C10" s="80" t="n">
        <v>99</v>
      </c>
      <c r="D10" s="80" t="n">
        <v>76</v>
      </c>
      <c r="E10" s="80" t="n">
        <v>0</v>
      </c>
      <c r="F10" s="81" t="n">
        <v>0.2190972222222222</v>
      </c>
      <c r="H10">
        <f>"Всего"</f>
        <v/>
      </c>
      <c r="I10" s="79" t="n">
        <v>21.90972222222222</v>
      </c>
    </row>
    <row r="13">
      <c r="A13" s="82" t="inlineStr">
        <is>
          <t>Расчет готовности</t>
        </is>
      </c>
      <c r="B13" s="83" t="n"/>
      <c r="C13" s="83" t="n"/>
      <c r="D13" s="83" t="n"/>
      <c r="E13" s="83" t="n"/>
      <c r="F13" s="84" t="n"/>
    </row>
    <row r="14" ht="22" customHeight="1">
      <c r="A14" s="55" t="inlineStr">
        <is>
          <t>Разметка</t>
        </is>
      </c>
      <c r="B14" s="48" t="inlineStr">
        <is>
          <t>10% от работы</t>
        </is>
      </c>
      <c r="C14" s="68" t="n"/>
      <c r="D14" s="68" t="n"/>
      <c r="E14" s="68" t="n"/>
      <c r="F14" s="69" t="n"/>
    </row>
    <row r="15" ht="22" customHeight="1">
      <c r="A15" s="56" t="inlineStr">
        <is>
          <t>Бурение</t>
        </is>
      </c>
      <c r="B15" s="51" t="inlineStr">
        <is>
          <t>70% от работы</t>
        </is>
      </c>
      <c r="F15" s="85" t="n"/>
    </row>
    <row r="16" ht="22" customHeight="1">
      <c r="A16" s="56" t="inlineStr">
        <is>
          <t>Гофра</t>
        </is>
      </c>
      <c r="B16" s="51" t="inlineStr">
        <is>
          <t>20% от работы</t>
        </is>
      </c>
      <c r="F16" s="85" t="n"/>
    </row>
    <row r="17" ht="22" customHeight="1">
      <c r="A17" s="57" t="inlineStr">
        <is>
          <t>Итоговая формула</t>
        </is>
      </c>
      <c r="B17" s="54" t="inlineStr">
        <is>
          <t>Готовность = разметка * 10% + бурение * 70% + гофра * 20%</t>
        </is>
      </c>
      <c r="C17" s="71" t="n"/>
      <c r="D17" s="71" t="n"/>
      <c r="E17" s="71" t="n"/>
      <c r="F17" s="73" t="n"/>
    </row>
    <row r="19">
      <c r="A19" t="inlineStr">
        <is>
          <t>Как пользоваться</t>
        </is>
      </c>
    </row>
    <row r="20" ht="22" customHeight="1">
      <c r="A20" t="inlineStr">
        <is>
          <t>1. Введите количество отверстий, где сделана разметка, пробурено отверстие и вставлена гофра.</t>
        </is>
      </c>
    </row>
    <row r="21" ht="22" customHeight="1">
      <c r="A21" t="inlineStr">
        <is>
          <t>2. По каждой линейке вводите значения от 0 до 144.</t>
        </is>
      </c>
    </row>
    <row r="22" ht="22" customHeight="1">
      <c r="A22" t="inlineStr">
        <is>
          <t>3. Если отверстие полностью готово, оно должно попасть во все три колонки: разметка, бурение и гофра.</t>
        </is>
      </c>
    </row>
  </sheetData>
  <mergeCells count="18">
    <mergeCell ref="A4:B4"/>
    <mergeCell ref="G4:H4"/>
    <mergeCell ref="E4:F4"/>
    <mergeCell ref="I4:J4"/>
    <mergeCell ref="A13:F13"/>
    <mergeCell ref="B16:F16"/>
    <mergeCell ref="A1:P1"/>
    <mergeCell ref="B15:F15"/>
    <mergeCell ref="A19:F19"/>
    <mergeCell ref="C5:D5"/>
    <mergeCell ref="A5:B5"/>
    <mergeCell ref="G5:H5"/>
    <mergeCell ref="E5:F5"/>
    <mergeCell ref="C4:D4"/>
    <mergeCell ref="I5:J5"/>
    <mergeCell ref="B14:F14"/>
    <mergeCell ref="B17:F17"/>
    <mergeCell ref="A2:P2"/>
  </mergeCells>
  <dataValidations count="1">
    <dataValidation sqref="C8:E9" showDropDown="0" showInputMessage="0" showErrorMessage="0" allowBlank="0" type="whole" operator="between">
      <formula1>0</formula1>
      <formula2>144</formula2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2026-08-19T10:10:46Z</dcterms:created>
  <dcterms:modified xsi:type="dcterms:W3CDTF">2026-08-19T11:37:34Z</dcterms:modified>
</cp:coreProperties>
</file>